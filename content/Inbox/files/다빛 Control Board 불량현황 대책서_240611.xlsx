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sul\OneDrive\바탕 화면\"/>
    </mc:Choice>
  </mc:AlternateContent>
  <xr:revisionPtr revIDLastSave="0" documentId="13_ncr:1_{2F80EA96-8BA1-4A97-A8E2-547625CDDB30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G20" i="1" l="1"/>
  <c r="F20" i="1"/>
  <c r="H7" i="1"/>
  <c r="H8" i="1"/>
  <c r="H9" i="1"/>
  <c r="H10" i="1"/>
  <c r="H11" i="1"/>
  <c r="H12" i="1"/>
  <c r="H13" i="1"/>
  <c r="H14" i="1"/>
  <c r="H15" i="1"/>
  <c r="H16" i="1"/>
  <c r="H17" i="1"/>
  <c r="H19" i="1"/>
  <c r="H6" i="1"/>
  <c r="H20" i="1" l="1"/>
</calcChain>
</file>

<file path=xl/sharedStrings.xml><?xml version="1.0" encoding="utf-8"?>
<sst xmlns="http://schemas.openxmlformats.org/spreadsheetml/2006/main" count="132" uniqueCount="106">
  <si>
    <t>불량 증상</t>
  </si>
  <si>
    <t>불량 개수</t>
  </si>
  <si>
    <t>글씨 처짐 현상 및 점자 표시됨 (초기세팅 불량)</t>
  </si>
  <si>
    <t>색상 불량 (HW불량)</t>
  </si>
  <si>
    <t>IP세팅 불량 (초기세팅 불량)</t>
  </si>
  <si>
    <t>QR중복 (공정 오류)</t>
  </si>
  <si>
    <t>standoff 불량 (공정 오류)</t>
  </si>
  <si>
    <t>Dabit502보드 JP3쇼트핀 (공차 및 설삽 오류)</t>
  </si>
  <si>
    <t>Dabit502보드 BH1 설정 오류 (교환 받았다가 불량 나온 4ea)</t>
  </si>
  <si>
    <t>■ 다빛 솔루션 (Control Board) 불량현황</t>
    <phoneticPr fontId="2" type="noConversion"/>
  </si>
  <si>
    <t>1. 공정 불량현황</t>
    <phoneticPr fontId="2" type="noConversion"/>
  </si>
  <si>
    <t>투입수량</t>
    <phoneticPr fontId="2" type="noConversion"/>
  </si>
  <si>
    <t>불량수량</t>
    <phoneticPr fontId="2" type="noConversion"/>
  </si>
  <si>
    <t>불량률</t>
    <phoneticPr fontId="2" type="noConversion"/>
  </si>
  <si>
    <t>구분</t>
    <phoneticPr fontId="2" type="noConversion"/>
  </si>
  <si>
    <t>4월</t>
  </si>
  <si>
    <t>4월</t>
    <phoneticPr fontId="2" type="noConversion"/>
  </si>
  <si>
    <t>7월</t>
  </si>
  <si>
    <t>5월</t>
  </si>
  <si>
    <t>6월</t>
  </si>
  <si>
    <t>8월</t>
  </si>
  <si>
    <t>9월</t>
  </si>
  <si>
    <t>10월</t>
  </si>
  <si>
    <t>11월</t>
  </si>
  <si>
    <t>12월</t>
  </si>
  <si>
    <t>1월</t>
  </si>
  <si>
    <t>2월</t>
  </si>
  <si>
    <t>3월</t>
  </si>
  <si>
    <t>23년</t>
    <phoneticPr fontId="2" type="noConversion"/>
  </si>
  <si>
    <t>24년</t>
    <phoneticPr fontId="2" type="noConversion"/>
  </si>
  <si>
    <t>Total</t>
    <phoneticPr fontId="2" type="noConversion"/>
  </si>
  <si>
    <t>2. 불량유형</t>
    <phoneticPr fontId="2" type="noConversion"/>
  </si>
  <si>
    <t>Dabit300</t>
    <phoneticPr fontId="2" type="noConversion"/>
  </si>
  <si>
    <t>Dabit502</t>
    <phoneticPr fontId="2" type="noConversion"/>
  </si>
  <si>
    <t>증상 및 검토결과</t>
    <phoneticPr fontId="2" type="noConversion"/>
  </si>
  <si>
    <t>08B61FF114A7</t>
    <phoneticPr fontId="2" type="noConversion"/>
  </si>
  <si>
    <t>08B61FF21883</t>
    <phoneticPr fontId="2" type="noConversion"/>
  </si>
  <si>
    <t>08B61FF117AF</t>
    <phoneticPr fontId="2" type="noConversion"/>
  </si>
  <si>
    <t>08B61FF06CB3</t>
    <phoneticPr fontId="2" type="noConversion"/>
  </si>
  <si>
    <t>202303DB00155</t>
    <phoneticPr fontId="2" type="noConversion"/>
  </si>
  <si>
    <t>202306DB00159</t>
    <phoneticPr fontId="2" type="noConversion"/>
  </si>
  <si>
    <t>202306DB00156</t>
    <phoneticPr fontId="2" type="noConversion"/>
  </si>
  <si>
    <t>202306DB00154</t>
    <phoneticPr fontId="2" type="noConversion"/>
  </si>
  <si>
    <t>08B61FF07547</t>
    <phoneticPr fontId="2" type="noConversion"/>
  </si>
  <si>
    <t>202212DB01353</t>
    <phoneticPr fontId="2" type="noConversion"/>
  </si>
  <si>
    <t>초기세팅 불량(확인용 줄 표시됨), 글씨처짐 현상 및 점자 표시됨.</t>
    <phoneticPr fontId="2" type="noConversion"/>
  </si>
  <si>
    <t>08B61FF04017</t>
    <phoneticPr fontId="2" type="noConversion"/>
  </si>
  <si>
    <t>202212DB01843</t>
    <phoneticPr fontId="2" type="noConversion"/>
  </si>
  <si>
    <t>글씨처짐 현상 및 점자 표시됨.</t>
    <phoneticPr fontId="2" type="noConversion"/>
  </si>
  <si>
    <t>08B61FF0336B</t>
    <phoneticPr fontId="2" type="noConversion"/>
  </si>
  <si>
    <t>202212DB04675</t>
    <phoneticPr fontId="2" type="noConversion"/>
  </si>
  <si>
    <t>초기세팅 불량(확인용 줄 표시됨)</t>
    <phoneticPr fontId="2" type="noConversion"/>
  </si>
  <si>
    <t>08B61FF02FEF</t>
    <phoneticPr fontId="2" type="noConversion"/>
  </si>
  <si>
    <t>202212DB04049</t>
    <phoneticPr fontId="2" type="noConversion"/>
  </si>
  <si>
    <t>초기세팅 불량(확인용 줄 표시됨) , 글씨처짐 현상 및 점자 표시됨.</t>
    <phoneticPr fontId="2" type="noConversion"/>
  </si>
  <si>
    <t>08B61FF04643</t>
    <phoneticPr fontId="2" type="noConversion"/>
  </si>
  <si>
    <t>202212DB03975</t>
    <phoneticPr fontId="2" type="noConversion"/>
  </si>
  <si>
    <t>08B61FF11C5F</t>
    <phoneticPr fontId="2" type="noConversion"/>
  </si>
  <si>
    <t>202212DB01157</t>
    <phoneticPr fontId="2" type="noConversion"/>
  </si>
  <si>
    <t>08B61FF02F57</t>
    <phoneticPr fontId="2" type="noConversion"/>
  </si>
  <si>
    <t>202212DB01828</t>
    <phoneticPr fontId="2" type="noConversion"/>
  </si>
  <si>
    <t>08B61FF05747</t>
    <phoneticPr fontId="2" type="noConversion"/>
  </si>
  <si>
    <t>202212DB00210</t>
    <phoneticPr fontId="2" type="noConversion"/>
  </si>
  <si>
    <t>08B61FF0DBB7</t>
    <phoneticPr fontId="2" type="noConversion"/>
  </si>
  <si>
    <t>202212DB03622</t>
    <phoneticPr fontId="2" type="noConversion"/>
  </si>
  <si>
    <t>Green색상이 노란색으로 보임</t>
    <phoneticPr fontId="2" type="noConversion"/>
  </si>
  <si>
    <t>08B61FF0F10F</t>
    <phoneticPr fontId="2" type="noConversion"/>
  </si>
  <si>
    <t>202212DB00137</t>
    <phoneticPr fontId="2" type="noConversion"/>
  </si>
  <si>
    <t>Green, Blue 점등 안 됨. (White는 점등 됨)</t>
    <phoneticPr fontId="2" type="noConversion"/>
  </si>
  <si>
    <t>08B61FF0361F</t>
    <phoneticPr fontId="2" type="noConversion"/>
  </si>
  <si>
    <t>202212DB03747</t>
    <phoneticPr fontId="2" type="noConversion"/>
  </si>
  <si>
    <t>08B61FF119F7</t>
    <phoneticPr fontId="2" type="noConversion"/>
  </si>
  <si>
    <t>202212DB01047</t>
    <phoneticPr fontId="2" type="noConversion"/>
  </si>
  <si>
    <t>08B61FF110B3</t>
    <phoneticPr fontId="2" type="noConversion"/>
  </si>
  <si>
    <t>202212DB04793</t>
    <phoneticPr fontId="2" type="noConversion"/>
  </si>
  <si>
    <t>초기세팅 불량(확인용 줄 표시됨) , IP ( 192.168.0.202)</t>
    <phoneticPr fontId="2" type="noConversion"/>
  </si>
  <si>
    <t>08B61FF0605F</t>
    <phoneticPr fontId="2" type="noConversion"/>
  </si>
  <si>
    <t>202212DB03004</t>
    <phoneticPr fontId="2" type="noConversion"/>
  </si>
  <si>
    <t>Dabit502보드 JP3쇼트핀 (공차 및 설삽 오류)</t>
    <phoneticPr fontId="2" type="noConversion"/>
  </si>
  <si>
    <t>08B61FF0EFA7</t>
    <phoneticPr fontId="2" type="noConversion"/>
  </si>
  <si>
    <t>202212DB00059</t>
    <phoneticPr fontId="2" type="noConversion"/>
  </si>
  <si>
    <t>B8D61A184D77</t>
    <phoneticPr fontId="2" type="noConversion"/>
  </si>
  <si>
    <t>202212DB00074</t>
    <phoneticPr fontId="2" type="noConversion"/>
  </si>
  <si>
    <t>08B61FF0E403</t>
    <phoneticPr fontId="2" type="noConversion"/>
  </si>
  <si>
    <t>202212DB04456</t>
    <phoneticPr fontId="2" type="noConversion"/>
  </si>
  <si>
    <t>08B61FF032DB</t>
    <phoneticPr fontId="2" type="noConversion"/>
  </si>
  <si>
    <t>202306DB00093</t>
    <phoneticPr fontId="2" type="noConversion"/>
  </si>
  <si>
    <t>08B61FF069E3</t>
    <phoneticPr fontId="2" type="noConversion"/>
  </si>
  <si>
    <t>202212DB01235</t>
    <phoneticPr fontId="2" type="noConversion"/>
  </si>
  <si>
    <t>Dabit 300 버전 쿼리 응답 정상 / Dabit 500 무응답 (TTL통신 세팅 오류)</t>
    <phoneticPr fontId="2" type="noConversion"/>
  </si>
  <si>
    <t>초기세팅 불량(확인용 줄 표시됨) , 글씨처짐 현상 및 점자 표시됨. (Dabit500 S/N 출고리스트와 불일치)</t>
    <phoneticPr fontId="2" type="noConversion"/>
  </si>
  <si>
    <t>3. Bear Robotics 검토결과</t>
    <phoneticPr fontId="2" type="noConversion"/>
  </si>
  <si>
    <t>5월</t>
    <phoneticPr fontId="2" type="noConversion"/>
  </si>
  <si>
    <t>Dabit502보드 BH1 설정 오류 (교환 받았다가 불량 나온 4ea)</t>
    <phoneticPr fontId="2" type="noConversion"/>
  </si>
  <si>
    <t>원인</t>
    <phoneticPr fontId="2" type="noConversion"/>
  </si>
  <si>
    <t>대책</t>
    <phoneticPr fontId="2" type="noConversion"/>
  </si>
  <si>
    <t>표출신호 관련
초기설정 오류</t>
    <phoneticPr fontId="2" type="noConversion"/>
  </si>
  <si>
    <t>뒷판 솔더링 불량</t>
    <phoneticPr fontId="2" type="noConversion"/>
  </si>
  <si>
    <t>공정 오류</t>
    <phoneticPr fontId="2" type="noConversion"/>
  </si>
  <si>
    <t>전담직원 채용 및 OQC 강화</t>
    <phoneticPr fontId="2" type="noConversion"/>
  </si>
  <si>
    <t>전원 쇼트핀 품질 불량</t>
    <phoneticPr fontId="2" type="noConversion"/>
  </si>
  <si>
    <t>양품 구매 및 OQC 강화</t>
    <phoneticPr fontId="2" type="noConversion"/>
  </si>
  <si>
    <t>보드기능 관련 
초기설정 오류</t>
    <phoneticPr fontId="2" type="noConversion"/>
  </si>
  <si>
    <t>네트워크 초기값 관련
초기설정 오류</t>
    <phoneticPr fontId="2" type="noConversion"/>
  </si>
  <si>
    <t>보드 교체 및 OQC 강화</t>
    <phoneticPr fontId="2" type="noConversion"/>
  </si>
  <si>
    <t>초기화 및 재설정
초기설정 매뉴얼 교육 강화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</si>
</sst>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i/>
      <sz val="12"/>
      <color theme="1"/>
      <name val="맑은 고딕"/>
      <family val="3"/>
      <charset val="129"/>
    </font>
    <font>
      <b/>
      <i/>
      <sz val="14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0" fontId="5" fillId="0" borderId="3" xfId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0" fontId="5" fillId="0" borderId="6" xfId="1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10" fontId="5" fillId="0" borderId="9" xfId="1" applyNumberFormat="1" applyFont="1" applyBorder="1" applyAlignment="1">
      <alignment horizontal="center" vertical="center"/>
    </xf>
    <xf numFmtId="176" fontId="3" fillId="0" borderId="11" xfId="0" applyNumberFormat="1" applyFont="1" applyBorder="1" applyAlignment="1">
      <alignment horizontal="center" vertical="center"/>
    </xf>
    <xf numFmtId="10" fontId="5" fillId="0" borderId="12" xfId="1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F61"/>
  <sheetViews>
    <sheetView showGridLines="0" tabSelected="1" topLeftCell="F29" zoomScale="85" zoomScaleNormal="85" workbookViewId="0">
      <selection activeCell="AE62" sqref="AE62"/>
    </sheetView>
  </sheetViews>
  <sheetFormatPr defaultRowHeight="21.45" x14ac:dyDescent="0.55000000000000004"/>
  <cols>
    <col min="1" max="1" width="3" style="3" customWidth="1"/>
    <col min="2" max="2" width="3" style="22" customWidth="1"/>
    <col min="3" max="3" width="3" style="21" customWidth="1"/>
    <col min="4" max="5" width="9.0703125" style="4" customWidth="1"/>
    <col min="6" max="10" width="8.92578125" style="4" customWidth="1"/>
    <col min="11" max="11" width="6.35546875" style="4" customWidth="1"/>
    <col min="12" max="12" width="3.140625" style="4" hidden="1" customWidth="1"/>
    <col min="13" max="13" width="8.92578125" style="4" customWidth="1"/>
    <col min="14" max="14" width="7.92578125" style="4" customWidth="1"/>
    <col min="15" max="15" width="2.2109375" style="4" hidden="1" customWidth="1"/>
    <col min="16" max="20" width="8.92578125" style="4" customWidth="1"/>
    <col min="21" max="22" width="8.92578125" style="3" customWidth="1"/>
    <col min="23" max="23" width="8.7109375" style="3"/>
    <col min="24" max="24" width="3.0703125" customWidth="1"/>
    <col min="32" max="32" width="10.92578125" customWidth="1"/>
  </cols>
  <sheetData>
    <row r="2" spans="2:8" x14ac:dyDescent="0.55000000000000004">
      <c r="B2" s="22" t="s">
        <v>9</v>
      </c>
    </row>
    <row r="4" spans="2:8" x14ac:dyDescent="0.55000000000000004">
      <c r="C4" s="21" t="s">
        <v>10</v>
      </c>
    </row>
    <row r="5" spans="2:8" x14ac:dyDescent="0.55000000000000004">
      <c r="D5" s="31" t="s">
        <v>14</v>
      </c>
      <c r="E5" s="32"/>
      <c r="F5" s="5" t="s">
        <v>11</v>
      </c>
      <c r="G5" s="5" t="s">
        <v>12</v>
      </c>
      <c r="H5" s="6" t="s">
        <v>13</v>
      </c>
    </row>
    <row r="6" spans="2:8" x14ac:dyDescent="0.55000000000000004">
      <c r="D6" s="46" t="s">
        <v>28</v>
      </c>
      <c r="E6" s="7" t="s">
        <v>16</v>
      </c>
      <c r="F6" s="8">
        <v>140</v>
      </c>
      <c r="G6" s="8">
        <v>1</v>
      </c>
      <c r="H6" s="9">
        <f>G6/F6</f>
        <v>7.1428571428571426E-3</v>
      </c>
    </row>
    <row r="7" spans="2:8" x14ac:dyDescent="0.55000000000000004">
      <c r="D7" s="47"/>
      <c r="E7" s="10" t="s">
        <v>18</v>
      </c>
      <c r="F7" s="11">
        <v>361</v>
      </c>
      <c r="G7" s="11">
        <v>0</v>
      </c>
      <c r="H7" s="12">
        <f t="shared" ref="H7:H20" si="0">G7/F7</f>
        <v>0</v>
      </c>
    </row>
    <row r="8" spans="2:8" x14ac:dyDescent="0.55000000000000004">
      <c r="D8" s="47"/>
      <c r="E8" s="10" t="s">
        <v>19</v>
      </c>
      <c r="F8" s="11">
        <v>369</v>
      </c>
      <c r="G8" s="11">
        <v>4</v>
      </c>
      <c r="H8" s="12">
        <f t="shared" si="0"/>
        <v>1.0840108401084011E-2</v>
      </c>
    </row>
    <row r="9" spans="2:8" x14ac:dyDescent="0.55000000000000004">
      <c r="D9" s="47"/>
      <c r="E9" s="10" t="s">
        <v>17</v>
      </c>
      <c r="F9" s="11">
        <v>298</v>
      </c>
      <c r="G9" s="11">
        <v>7</v>
      </c>
      <c r="H9" s="12">
        <f t="shared" si="0"/>
        <v>2.3489932885906041E-2</v>
      </c>
    </row>
    <row r="10" spans="2:8" x14ac:dyDescent="0.55000000000000004">
      <c r="D10" s="47"/>
      <c r="E10" s="10" t="s">
        <v>20</v>
      </c>
      <c r="F10" s="11">
        <v>2</v>
      </c>
      <c r="G10" s="11">
        <v>0</v>
      </c>
      <c r="H10" s="12">
        <f t="shared" si="0"/>
        <v>0</v>
      </c>
    </row>
    <row r="11" spans="2:8" x14ac:dyDescent="0.55000000000000004">
      <c r="D11" s="47"/>
      <c r="E11" s="10" t="s">
        <v>21</v>
      </c>
      <c r="F11" s="11">
        <v>102</v>
      </c>
      <c r="G11" s="11">
        <v>0</v>
      </c>
      <c r="H11" s="12">
        <f t="shared" si="0"/>
        <v>0</v>
      </c>
    </row>
    <row r="12" spans="2:8" x14ac:dyDescent="0.55000000000000004">
      <c r="D12" s="47"/>
      <c r="E12" s="10" t="s">
        <v>22</v>
      </c>
      <c r="F12" s="11">
        <v>30</v>
      </c>
      <c r="G12" s="11">
        <v>0</v>
      </c>
      <c r="H12" s="12">
        <f t="shared" si="0"/>
        <v>0</v>
      </c>
    </row>
    <row r="13" spans="2:8" x14ac:dyDescent="0.55000000000000004">
      <c r="D13" s="47"/>
      <c r="E13" s="10" t="s">
        <v>23</v>
      </c>
      <c r="F13" s="11">
        <v>106</v>
      </c>
      <c r="G13" s="11">
        <v>4</v>
      </c>
      <c r="H13" s="12">
        <f t="shared" si="0"/>
        <v>3.7735849056603772E-2</v>
      </c>
    </row>
    <row r="14" spans="2:8" x14ac:dyDescent="0.55000000000000004">
      <c r="D14" s="48"/>
      <c r="E14" s="13" t="s">
        <v>24</v>
      </c>
      <c r="F14" s="14">
        <v>57</v>
      </c>
      <c r="G14" s="14">
        <v>0</v>
      </c>
      <c r="H14" s="15">
        <f t="shared" si="0"/>
        <v>0</v>
      </c>
    </row>
    <row r="15" spans="2:8" x14ac:dyDescent="0.55000000000000004">
      <c r="D15" s="47" t="s">
        <v>29</v>
      </c>
      <c r="E15" s="10" t="s">
        <v>25</v>
      </c>
      <c r="F15" s="11">
        <v>111</v>
      </c>
      <c r="G15" s="11">
        <v>0</v>
      </c>
      <c r="H15" s="12">
        <f t="shared" si="0"/>
        <v>0</v>
      </c>
    </row>
    <row r="16" spans="2:8" x14ac:dyDescent="0.55000000000000004">
      <c r="D16" s="47"/>
      <c r="E16" s="10" t="s">
        <v>26</v>
      </c>
      <c r="F16" s="11">
        <v>89</v>
      </c>
      <c r="G16" s="11">
        <v>2</v>
      </c>
      <c r="H16" s="12">
        <f t="shared" si="0"/>
        <v>2.247191011235955E-2</v>
      </c>
    </row>
    <row r="17" spans="3:20" x14ac:dyDescent="0.55000000000000004">
      <c r="D17" s="47"/>
      <c r="E17" s="10" t="s">
        <v>27</v>
      </c>
      <c r="F17" s="11">
        <v>104</v>
      </c>
      <c r="G17" s="11">
        <v>3</v>
      </c>
      <c r="H17" s="12">
        <f t="shared" si="0"/>
        <v>2.8846153846153848E-2</v>
      </c>
    </row>
    <row r="18" spans="3:20" x14ac:dyDescent="0.55000000000000004">
      <c r="D18" s="47"/>
      <c r="E18" s="10" t="s">
        <v>15</v>
      </c>
      <c r="F18" s="11">
        <v>177</v>
      </c>
      <c r="G18" s="11">
        <v>1</v>
      </c>
      <c r="H18" s="12">
        <f t="shared" si="0"/>
        <v>5.6497175141242938E-3</v>
      </c>
    </row>
    <row r="19" spans="3:20" x14ac:dyDescent="0.55000000000000004">
      <c r="D19" s="47"/>
      <c r="E19" s="10" t="s">
        <v>92</v>
      </c>
      <c r="F19" s="11">
        <v>145</v>
      </c>
      <c r="G19" s="11">
        <v>3</v>
      </c>
      <c r="H19" s="12">
        <f t="shared" si="0"/>
        <v>2.0689655172413793E-2</v>
      </c>
    </row>
    <row r="20" spans="3:20" x14ac:dyDescent="0.55000000000000004">
      <c r="D20" s="33" t="s">
        <v>30</v>
      </c>
      <c r="E20" s="34"/>
      <c r="F20" s="16">
        <f>SUM(F6:F19)</f>
        <v>2091</v>
      </c>
      <c r="G20" s="16">
        <f>SUM(G6:G19)</f>
        <v>25</v>
      </c>
      <c r="H20" s="17">
        <f t="shared" si="0"/>
        <v>1.1956001912960305E-2</v>
      </c>
    </row>
    <row r="22" spans="3:20" x14ac:dyDescent="0.55000000000000004">
      <c r="C22" s="21" t="s">
        <v>31</v>
      </c>
    </row>
    <row r="24" spans="3:20" x14ac:dyDescent="0.55000000000000004">
      <c r="D24" s="41" t="s">
        <v>0</v>
      </c>
      <c r="E24" s="42"/>
      <c r="F24" s="42"/>
      <c r="G24" s="42"/>
      <c r="H24" s="42"/>
      <c r="I24" s="42"/>
      <c r="J24" s="1" t="s">
        <v>1</v>
      </c>
      <c r="S24" s="3"/>
      <c r="T24" s="3"/>
    </row>
    <row r="25" spans="3:20" x14ac:dyDescent="0.55000000000000004">
      <c r="D25" s="39" t="s">
        <v>2</v>
      </c>
      <c r="E25" s="40"/>
      <c r="F25" s="40"/>
      <c r="G25" s="40"/>
      <c r="H25" s="40"/>
      <c r="I25" s="40"/>
      <c r="J25" s="18">
        <v>8</v>
      </c>
      <c r="S25" s="3"/>
      <c r="T25" s="3"/>
    </row>
    <row r="26" spans="3:20" x14ac:dyDescent="0.55000000000000004">
      <c r="D26" s="39" t="s">
        <v>3</v>
      </c>
      <c r="E26" s="40"/>
      <c r="F26" s="40"/>
      <c r="G26" s="40"/>
      <c r="H26" s="40"/>
      <c r="I26" s="40"/>
      <c r="J26" s="18">
        <v>3</v>
      </c>
      <c r="S26" s="3"/>
      <c r="T26" s="3"/>
    </row>
    <row r="27" spans="3:20" x14ac:dyDescent="0.55000000000000004">
      <c r="D27" s="39" t="s">
        <v>4</v>
      </c>
      <c r="E27" s="40"/>
      <c r="F27" s="40"/>
      <c r="G27" s="40"/>
      <c r="H27" s="40"/>
      <c r="I27" s="40"/>
      <c r="J27" s="18">
        <v>2</v>
      </c>
      <c r="S27" s="3"/>
      <c r="T27" s="3"/>
    </row>
    <row r="28" spans="3:20" x14ac:dyDescent="0.55000000000000004">
      <c r="D28" s="39" t="s">
        <v>5</v>
      </c>
      <c r="E28" s="40"/>
      <c r="F28" s="40"/>
      <c r="G28" s="40"/>
      <c r="H28" s="40"/>
      <c r="I28" s="40"/>
      <c r="J28" s="18">
        <v>1</v>
      </c>
      <c r="S28" s="3"/>
      <c r="T28" s="3"/>
    </row>
    <row r="29" spans="3:20" x14ac:dyDescent="0.55000000000000004">
      <c r="D29" s="39" t="s">
        <v>6</v>
      </c>
      <c r="E29" s="40"/>
      <c r="F29" s="40"/>
      <c r="G29" s="40"/>
      <c r="H29" s="40"/>
      <c r="I29" s="40"/>
      <c r="J29" s="18">
        <v>1</v>
      </c>
      <c r="S29" s="3"/>
      <c r="T29" s="3"/>
    </row>
    <row r="30" spans="3:20" x14ac:dyDescent="0.55000000000000004">
      <c r="D30" s="39" t="s">
        <v>7</v>
      </c>
      <c r="E30" s="40"/>
      <c r="F30" s="40"/>
      <c r="G30" s="40"/>
      <c r="H30" s="40"/>
      <c r="I30" s="40"/>
      <c r="J30" s="18">
        <v>6</v>
      </c>
      <c r="S30" s="3"/>
      <c r="T30" s="3"/>
    </row>
    <row r="31" spans="3:20" x14ac:dyDescent="0.55000000000000004">
      <c r="D31" s="37" t="s">
        <v>8</v>
      </c>
      <c r="E31" s="38"/>
      <c r="F31" s="38"/>
      <c r="G31" s="38"/>
      <c r="H31" s="38"/>
      <c r="I31" s="38"/>
      <c r="J31" s="19">
        <v>4</v>
      </c>
      <c r="S31" s="3"/>
      <c r="T31" s="3"/>
    </row>
    <row r="32" spans="3:20" x14ac:dyDescent="0.55000000000000004">
      <c r="I32" s="2"/>
      <c r="J32" s="20">
        <v>25</v>
      </c>
      <c r="S32" s="3"/>
      <c r="T32" s="3"/>
    </row>
    <row r="34" spans="3:32" x14ac:dyDescent="0.55000000000000004">
      <c r="C34" s="21" t="s">
        <v>91</v>
      </c>
    </row>
    <row r="36" spans="3:32" x14ac:dyDescent="0.55000000000000004">
      <c r="D36" s="41" t="s">
        <v>0</v>
      </c>
      <c r="E36" s="42"/>
      <c r="F36" s="42"/>
      <c r="G36" s="42"/>
      <c r="H36" s="42"/>
      <c r="I36" s="42"/>
      <c r="J36" s="49" t="s">
        <v>32</v>
      </c>
      <c r="K36" s="49"/>
      <c r="L36" s="49"/>
      <c r="M36" s="49" t="s">
        <v>33</v>
      </c>
      <c r="N36" s="49"/>
      <c r="O36" s="49"/>
      <c r="P36" s="49" t="s">
        <v>34</v>
      </c>
      <c r="Q36" s="49"/>
      <c r="R36" s="49"/>
      <c r="S36" s="49"/>
      <c r="T36" s="49"/>
      <c r="U36" s="49"/>
      <c r="V36" s="49"/>
      <c r="W36" s="49"/>
      <c r="X36" s="28"/>
      <c r="Y36" s="28" t="s">
        <v>94</v>
      </c>
      <c r="Z36" s="29"/>
      <c r="AA36" s="30"/>
      <c r="AB36" s="29" t="s">
        <v>95</v>
      </c>
      <c r="AC36" s="29"/>
      <c r="AD36" s="29"/>
      <c r="AE36" s="29"/>
      <c r="AF36" s="29"/>
    </row>
    <row r="37" spans="3:32" ht="21" customHeight="1" x14ac:dyDescent="0.55000000000000004">
      <c r="D37" s="35" t="s">
        <v>2</v>
      </c>
      <c r="E37" s="36"/>
      <c r="F37" s="36"/>
      <c r="G37" s="36"/>
      <c r="H37" s="36"/>
      <c r="I37" s="36"/>
      <c r="J37" s="50" t="s">
        <v>43</v>
      </c>
      <c r="K37" s="50"/>
      <c r="L37" s="50"/>
      <c r="M37" s="50" t="s">
        <v>44</v>
      </c>
      <c r="N37" s="50"/>
      <c r="O37" s="50"/>
      <c r="P37" s="50" t="s">
        <v>45</v>
      </c>
      <c r="Q37" s="50"/>
      <c r="R37" s="50"/>
      <c r="S37" s="50"/>
      <c r="T37" s="50"/>
      <c r="U37" s="50"/>
      <c r="V37" s="50"/>
      <c r="W37" s="50"/>
      <c r="X37" s="52"/>
      <c r="Y37" s="26" t="s">
        <v>96</v>
      </c>
      <c r="Z37" s="24"/>
      <c r="AA37" s="25"/>
      <c r="AB37" s="27" t="s">
        <v>105</v>
      </c>
      <c r="AC37" s="24"/>
      <c r="AD37" s="24"/>
      <c r="AE37" s="24"/>
      <c r="AF37" s="24"/>
    </row>
    <row r="38" spans="3:32" x14ac:dyDescent="0.55000000000000004">
      <c r="D38" s="39"/>
      <c r="E38" s="40"/>
      <c r="F38" s="40"/>
      <c r="G38" s="40"/>
      <c r="H38" s="40"/>
      <c r="I38" s="40"/>
      <c r="J38" s="45" t="s">
        <v>46</v>
      </c>
      <c r="K38" s="45"/>
      <c r="L38" s="45"/>
      <c r="M38" s="45" t="s">
        <v>47</v>
      </c>
      <c r="N38" s="45"/>
      <c r="O38" s="45"/>
      <c r="P38" s="45" t="s">
        <v>48</v>
      </c>
      <c r="Q38" s="45"/>
      <c r="R38" s="45"/>
      <c r="S38" s="45"/>
      <c r="T38" s="45"/>
      <c r="U38" s="45"/>
      <c r="V38" s="45"/>
      <c r="W38" s="45"/>
      <c r="X38" s="53"/>
      <c r="Y38" s="23"/>
      <c r="Z38" s="24"/>
      <c r="AA38" s="25"/>
      <c r="AB38" s="24"/>
      <c r="AC38" s="24"/>
      <c r="AD38" s="24"/>
      <c r="AE38" s="24"/>
      <c r="AF38" s="24"/>
    </row>
    <row r="39" spans="3:32" x14ac:dyDescent="0.55000000000000004">
      <c r="D39" s="39"/>
      <c r="E39" s="40"/>
      <c r="F39" s="40"/>
      <c r="G39" s="40"/>
      <c r="H39" s="40"/>
      <c r="I39" s="40"/>
      <c r="J39" s="45" t="s">
        <v>49</v>
      </c>
      <c r="K39" s="45"/>
      <c r="L39" s="45"/>
      <c r="M39" s="45" t="s">
        <v>50</v>
      </c>
      <c r="N39" s="45"/>
      <c r="O39" s="45"/>
      <c r="P39" s="45" t="s">
        <v>51</v>
      </c>
      <c r="Q39" s="45"/>
      <c r="R39" s="45"/>
      <c r="S39" s="45"/>
      <c r="T39" s="45"/>
      <c r="U39" s="45"/>
      <c r="V39" s="45"/>
      <c r="W39" s="45"/>
      <c r="X39" s="53"/>
      <c r="Y39" s="23"/>
      <c r="Z39" s="24"/>
      <c r="AA39" s="25"/>
      <c r="AB39" s="24"/>
      <c r="AC39" s="24"/>
      <c r="AD39" s="24"/>
      <c r="AE39" s="24"/>
      <c r="AF39" s="24"/>
    </row>
    <row r="40" spans="3:32" x14ac:dyDescent="0.55000000000000004">
      <c r="D40" s="39"/>
      <c r="E40" s="40"/>
      <c r="F40" s="40"/>
      <c r="G40" s="40"/>
      <c r="H40" s="40"/>
      <c r="I40" s="40"/>
      <c r="J40" s="45" t="s">
        <v>52</v>
      </c>
      <c r="K40" s="45"/>
      <c r="L40" s="45"/>
      <c r="M40" s="45" t="s">
        <v>53</v>
      </c>
      <c r="N40" s="45"/>
      <c r="O40" s="45"/>
      <c r="P40" s="45" t="s">
        <v>90</v>
      </c>
      <c r="Q40" s="45"/>
      <c r="R40" s="45"/>
      <c r="S40" s="45"/>
      <c r="T40" s="45"/>
      <c r="U40" s="45"/>
      <c r="V40" s="45"/>
      <c r="W40" s="45"/>
      <c r="X40" s="53"/>
      <c r="Y40" s="23"/>
      <c r="Z40" s="24"/>
      <c r="AA40" s="25"/>
      <c r="AB40" s="24"/>
      <c r="AC40" s="24"/>
      <c r="AD40" s="24"/>
      <c r="AE40" s="24"/>
      <c r="AF40" s="24"/>
    </row>
    <row r="41" spans="3:32" x14ac:dyDescent="0.55000000000000004">
      <c r="D41" s="39"/>
      <c r="E41" s="40"/>
      <c r="F41" s="40"/>
      <c r="G41" s="40"/>
      <c r="H41" s="40"/>
      <c r="I41" s="40"/>
      <c r="J41" s="45" t="s">
        <v>55</v>
      </c>
      <c r="K41" s="45"/>
      <c r="L41" s="45"/>
      <c r="M41" s="45" t="s">
        <v>56</v>
      </c>
      <c r="N41" s="45"/>
      <c r="O41" s="45"/>
      <c r="P41" s="45" t="s">
        <v>54</v>
      </c>
      <c r="Q41" s="45"/>
      <c r="R41" s="45"/>
      <c r="S41" s="45"/>
      <c r="T41" s="45"/>
      <c r="U41" s="45"/>
      <c r="V41" s="45"/>
      <c r="W41" s="45"/>
      <c r="X41" s="53"/>
      <c r="Y41" s="23"/>
      <c r="Z41" s="24"/>
      <c r="AA41" s="25"/>
      <c r="AB41" s="24"/>
      <c r="AC41" s="24"/>
      <c r="AD41" s="24"/>
      <c r="AE41" s="24"/>
      <c r="AF41" s="24"/>
    </row>
    <row r="42" spans="3:32" x14ac:dyDescent="0.55000000000000004">
      <c r="D42" s="39"/>
      <c r="E42" s="40"/>
      <c r="F42" s="40"/>
      <c r="G42" s="40"/>
      <c r="H42" s="40"/>
      <c r="I42" s="40"/>
      <c r="J42" s="45" t="s">
        <v>57</v>
      </c>
      <c r="K42" s="45"/>
      <c r="L42" s="45"/>
      <c r="M42" s="45" t="s">
        <v>58</v>
      </c>
      <c r="N42" s="45"/>
      <c r="O42" s="45"/>
      <c r="P42" s="45" t="s">
        <v>48</v>
      </c>
      <c r="Q42" s="45"/>
      <c r="R42" s="45"/>
      <c r="S42" s="45"/>
      <c r="T42" s="45"/>
      <c r="U42" s="45"/>
      <c r="V42" s="45"/>
      <c r="W42" s="45"/>
      <c r="X42" s="53"/>
      <c r="Y42" s="23"/>
      <c r="Z42" s="24"/>
      <c r="AA42" s="25"/>
      <c r="AB42" s="24"/>
      <c r="AC42" s="24"/>
      <c r="AD42" s="24"/>
      <c r="AE42" s="24"/>
      <c r="AF42" s="24"/>
    </row>
    <row r="43" spans="3:32" x14ac:dyDescent="0.55000000000000004">
      <c r="D43" s="39"/>
      <c r="E43" s="40"/>
      <c r="F43" s="40"/>
      <c r="G43" s="40"/>
      <c r="H43" s="40"/>
      <c r="I43" s="40"/>
      <c r="J43" s="45" t="s">
        <v>59</v>
      </c>
      <c r="K43" s="45"/>
      <c r="L43" s="45"/>
      <c r="M43" s="45" t="s">
        <v>60</v>
      </c>
      <c r="N43" s="45"/>
      <c r="O43" s="45"/>
      <c r="P43" s="45" t="s">
        <v>48</v>
      </c>
      <c r="Q43" s="45"/>
      <c r="R43" s="45"/>
      <c r="S43" s="45"/>
      <c r="T43" s="45"/>
      <c r="U43" s="45"/>
      <c r="V43" s="45"/>
      <c r="W43" s="45"/>
      <c r="X43" s="53"/>
      <c r="Y43" s="23"/>
      <c r="Z43" s="24"/>
      <c r="AA43" s="25"/>
      <c r="AB43" s="24"/>
      <c r="AC43" s="24"/>
      <c r="AD43" s="24"/>
      <c r="AE43" s="24"/>
      <c r="AF43" s="24"/>
    </row>
    <row r="44" spans="3:32" x14ac:dyDescent="0.55000000000000004">
      <c r="D44" s="37"/>
      <c r="E44" s="38"/>
      <c r="F44" s="38"/>
      <c r="G44" s="38"/>
      <c r="H44" s="38"/>
      <c r="I44" s="38"/>
      <c r="J44" s="51" t="s">
        <v>61</v>
      </c>
      <c r="K44" s="51"/>
      <c r="L44" s="51"/>
      <c r="M44" s="51" t="s">
        <v>62</v>
      </c>
      <c r="N44" s="51"/>
      <c r="O44" s="51"/>
      <c r="P44" s="51" t="s">
        <v>48</v>
      </c>
      <c r="Q44" s="51"/>
      <c r="R44" s="51"/>
      <c r="S44" s="51"/>
      <c r="T44" s="51"/>
      <c r="U44" s="51"/>
      <c r="V44" s="51"/>
      <c r="W44" s="51"/>
      <c r="X44" s="54"/>
      <c r="Y44" s="23"/>
      <c r="Z44" s="24"/>
      <c r="AA44" s="25"/>
      <c r="AB44" s="24"/>
      <c r="AC44" s="24"/>
      <c r="AD44" s="24"/>
      <c r="AE44" s="24"/>
      <c r="AF44" s="24"/>
    </row>
    <row r="45" spans="3:32" ht="21" customHeight="1" x14ac:dyDescent="0.55000000000000004">
      <c r="D45" s="39" t="s">
        <v>3</v>
      </c>
      <c r="E45" s="40"/>
      <c r="F45" s="40"/>
      <c r="G45" s="40"/>
      <c r="H45" s="40"/>
      <c r="I45" s="40"/>
      <c r="J45" s="45" t="s">
        <v>63</v>
      </c>
      <c r="K45" s="45"/>
      <c r="L45" s="45"/>
      <c r="M45" s="45" t="s">
        <v>64</v>
      </c>
      <c r="N45" s="45"/>
      <c r="O45" s="45"/>
      <c r="P45" s="45" t="s">
        <v>65</v>
      </c>
      <c r="Q45" s="45"/>
      <c r="R45" s="45"/>
      <c r="S45" s="45"/>
      <c r="T45" s="45"/>
      <c r="U45" s="45"/>
      <c r="V45" s="45"/>
      <c r="W45" s="45"/>
      <c r="X45" s="53"/>
      <c r="Y45" s="23" t="s">
        <v>97</v>
      </c>
      <c r="Z45" s="24"/>
      <c r="AA45" s="25"/>
      <c r="AB45" s="24" t="s">
        <v>104</v>
      </c>
      <c r="AC45" s="24"/>
      <c r="AD45" s="24"/>
      <c r="AE45" s="24"/>
      <c r="AF45" s="24"/>
    </row>
    <row r="46" spans="3:32" x14ac:dyDescent="0.55000000000000004">
      <c r="D46" s="39"/>
      <c r="E46" s="40"/>
      <c r="F46" s="40"/>
      <c r="G46" s="40"/>
      <c r="H46" s="40"/>
      <c r="I46" s="40"/>
      <c r="J46" s="45" t="s">
        <v>66</v>
      </c>
      <c r="K46" s="45"/>
      <c r="L46" s="45"/>
      <c r="M46" s="45" t="s">
        <v>67</v>
      </c>
      <c r="N46" s="45"/>
      <c r="O46" s="45"/>
      <c r="P46" s="45" t="s">
        <v>68</v>
      </c>
      <c r="Q46" s="45"/>
      <c r="R46" s="45"/>
      <c r="S46" s="45"/>
      <c r="T46" s="45"/>
      <c r="U46" s="45"/>
      <c r="V46" s="45"/>
      <c r="W46" s="45"/>
      <c r="X46" s="53"/>
      <c r="Y46" s="26" t="s">
        <v>96</v>
      </c>
      <c r="Z46" s="24"/>
      <c r="AA46" s="25"/>
      <c r="AB46" s="27" t="s">
        <v>105</v>
      </c>
      <c r="AC46" s="24"/>
      <c r="AD46" s="24"/>
      <c r="AE46" s="24"/>
      <c r="AF46" s="24"/>
    </row>
    <row r="47" spans="3:32" x14ac:dyDescent="0.55000000000000004">
      <c r="D47" s="39"/>
      <c r="E47" s="40"/>
      <c r="F47" s="40"/>
      <c r="G47" s="40"/>
      <c r="H47" s="40"/>
      <c r="I47" s="40"/>
      <c r="J47" s="45" t="s">
        <v>69</v>
      </c>
      <c r="K47" s="45"/>
      <c r="L47" s="45"/>
      <c r="M47" s="45" t="s">
        <v>70</v>
      </c>
      <c r="N47" s="45"/>
      <c r="O47" s="45"/>
      <c r="P47" s="45" t="s">
        <v>68</v>
      </c>
      <c r="Q47" s="45"/>
      <c r="R47" s="45"/>
      <c r="S47" s="45"/>
      <c r="T47" s="45"/>
      <c r="U47" s="45"/>
      <c r="V47" s="45"/>
      <c r="W47" s="45"/>
      <c r="X47" s="53"/>
      <c r="Y47" s="23"/>
      <c r="Z47" s="24"/>
      <c r="AA47" s="25"/>
      <c r="AB47" s="24"/>
      <c r="AC47" s="24"/>
      <c r="AD47" s="24"/>
      <c r="AE47" s="24"/>
      <c r="AF47" s="24"/>
    </row>
    <row r="48" spans="3:32" ht="21" customHeight="1" x14ac:dyDescent="0.55000000000000004">
      <c r="D48" s="35" t="s">
        <v>4</v>
      </c>
      <c r="E48" s="36"/>
      <c r="F48" s="36"/>
      <c r="G48" s="36"/>
      <c r="H48" s="36"/>
      <c r="I48" s="36"/>
      <c r="J48" s="50" t="s">
        <v>71</v>
      </c>
      <c r="K48" s="50"/>
      <c r="L48" s="50"/>
      <c r="M48" s="50" t="s">
        <v>72</v>
      </c>
      <c r="N48" s="50"/>
      <c r="O48" s="50"/>
      <c r="P48" s="50" t="s">
        <v>75</v>
      </c>
      <c r="Q48" s="50"/>
      <c r="R48" s="50"/>
      <c r="S48" s="50"/>
      <c r="T48" s="50"/>
      <c r="U48" s="50"/>
      <c r="V48" s="50"/>
      <c r="W48" s="50"/>
      <c r="X48" s="52"/>
      <c r="Y48" s="26" t="s">
        <v>103</v>
      </c>
      <c r="Z48" s="24"/>
      <c r="AA48" s="25"/>
      <c r="AB48" s="27" t="s">
        <v>105</v>
      </c>
      <c r="AC48" s="24"/>
      <c r="AD48" s="24"/>
      <c r="AE48" s="24"/>
      <c r="AF48" s="24"/>
    </row>
    <row r="49" spans="4:32" x14ac:dyDescent="0.55000000000000004">
      <c r="D49" s="37"/>
      <c r="E49" s="38"/>
      <c r="F49" s="38"/>
      <c r="G49" s="38"/>
      <c r="H49" s="38"/>
      <c r="I49" s="38"/>
      <c r="J49" s="51" t="s">
        <v>73</v>
      </c>
      <c r="K49" s="51"/>
      <c r="L49" s="51"/>
      <c r="M49" s="51" t="s">
        <v>74</v>
      </c>
      <c r="N49" s="51"/>
      <c r="O49" s="51"/>
      <c r="P49" s="51" t="s">
        <v>75</v>
      </c>
      <c r="Q49" s="51"/>
      <c r="R49" s="51"/>
      <c r="S49" s="51"/>
      <c r="T49" s="51"/>
      <c r="U49" s="51"/>
      <c r="V49" s="51"/>
      <c r="W49" s="51"/>
      <c r="X49" s="54"/>
      <c r="Y49" s="23"/>
      <c r="Z49" s="24"/>
      <c r="AA49" s="25"/>
      <c r="AB49" s="24"/>
      <c r="AC49" s="24"/>
      <c r="AD49" s="24"/>
      <c r="AE49" s="24"/>
      <c r="AF49" s="24"/>
    </row>
    <row r="50" spans="4:32" x14ac:dyDescent="0.55000000000000004">
      <c r="D50" s="39" t="s">
        <v>5</v>
      </c>
      <c r="E50" s="40"/>
      <c r="F50" s="40"/>
      <c r="G50" s="40"/>
      <c r="H50" s="40"/>
      <c r="I50" s="40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53"/>
      <c r="Y50" s="23" t="s">
        <v>98</v>
      </c>
      <c r="Z50" s="24"/>
      <c r="AA50" s="25"/>
      <c r="AB50" s="24" t="s">
        <v>99</v>
      </c>
      <c r="AC50" s="24"/>
      <c r="AD50" s="24"/>
      <c r="AE50" s="24"/>
      <c r="AF50" s="24"/>
    </row>
    <row r="51" spans="4:32" x14ac:dyDescent="0.55000000000000004">
      <c r="D51" s="43" t="s">
        <v>6</v>
      </c>
      <c r="E51" s="44"/>
      <c r="F51" s="44"/>
      <c r="G51" s="44"/>
      <c r="H51" s="44"/>
      <c r="I51" s="4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55"/>
      <c r="Y51" s="23" t="s">
        <v>98</v>
      </c>
      <c r="Z51" s="24"/>
      <c r="AA51" s="25"/>
      <c r="AB51" s="24" t="s">
        <v>99</v>
      </c>
      <c r="AC51" s="24"/>
      <c r="AD51" s="24"/>
      <c r="AE51" s="24"/>
      <c r="AF51" s="24"/>
    </row>
    <row r="52" spans="4:32" ht="21" customHeight="1" x14ac:dyDescent="0.55000000000000004">
      <c r="D52" s="39" t="s">
        <v>7</v>
      </c>
      <c r="E52" s="40"/>
      <c r="F52" s="40"/>
      <c r="G52" s="40"/>
      <c r="H52" s="40"/>
      <c r="I52" s="40"/>
      <c r="J52" s="45" t="s">
        <v>76</v>
      </c>
      <c r="K52" s="45"/>
      <c r="L52" s="45"/>
      <c r="M52" s="45" t="s">
        <v>77</v>
      </c>
      <c r="N52" s="45"/>
      <c r="O52" s="45"/>
      <c r="P52" s="45" t="s">
        <v>78</v>
      </c>
      <c r="Q52" s="45"/>
      <c r="R52" s="45"/>
      <c r="S52" s="45"/>
      <c r="T52" s="45"/>
      <c r="U52" s="45"/>
      <c r="V52" s="45"/>
      <c r="W52" s="45"/>
      <c r="X52" s="53"/>
      <c r="Y52" s="23" t="s">
        <v>100</v>
      </c>
      <c r="Z52" s="24"/>
      <c r="AA52" s="25"/>
      <c r="AB52" s="24" t="s">
        <v>101</v>
      </c>
      <c r="AC52" s="24"/>
      <c r="AD52" s="24"/>
      <c r="AE52" s="24"/>
      <c r="AF52" s="24"/>
    </row>
    <row r="53" spans="4:32" x14ac:dyDescent="0.55000000000000004">
      <c r="D53" s="39"/>
      <c r="E53" s="40"/>
      <c r="F53" s="40"/>
      <c r="G53" s="40"/>
      <c r="H53" s="40"/>
      <c r="I53" s="40"/>
      <c r="J53" s="45" t="s">
        <v>79</v>
      </c>
      <c r="K53" s="45"/>
      <c r="L53" s="45"/>
      <c r="M53" s="45" t="s">
        <v>80</v>
      </c>
      <c r="N53" s="45"/>
      <c r="O53" s="45"/>
      <c r="P53" s="45" t="s">
        <v>78</v>
      </c>
      <c r="Q53" s="45"/>
      <c r="R53" s="45"/>
      <c r="S53" s="45"/>
      <c r="T53" s="45"/>
      <c r="U53" s="45"/>
      <c r="V53" s="45"/>
      <c r="W53" s="45"/>
      <c r="X53" s="53"/>
      <c r="Y53" s="23"/>
      <c r="Z53" s="24"/>
      <c r="AA53" s="25"/>
      <c r="AB53" s="24"/>
      <c r="AC53" s="24"/>
      <c r="AD53" s="24"/>
      <c r="AE53" s="24"/>
      <c r="AF53" s="24"/>
    </row>
    <row r="54" spans="4:32" x14ac:dyDescent="0.55000000000000004">
      <c r="D54" s="39"/>
      <c r="E54" s="40"/>
      <c r="F54" s="40"/>
      <c r="G54" s="40"/>
      <c r="H54" s="40"/>
      <c r="I54" s="40"/>
      <c r="J54" s="45" t="s">
        <v>81</v>
      </c>
      <c r="K54" s="45"/>
      <c r="L54" s="45"/>
      <c r="M54" s="45" t="s">
        <v>82</v>
      </c>
      <c r="N54" s="45"/>
      <c r="O54" s="45"/>
      <c r="P54" s="45" t="s">
        <v>78</v>
      </c>
      <c r="Q54" s="45"/>
      <c r="R54" s="45"/>
      <c r="S54" s="45"/>
      <c r="T54" s="45"/>
      <c r="U54" s="45"/>
      <c r="V54" s="45"/>
      <c r="W54" s="45"/>
      <c r="X54" s="53"/>
      <c r="Y54" s="23"/>
      <c r="Z54" s="24"/>
      <c r="AA54" s="25"/>
      <c r="AB54" s="24"/>
      <c r="AC54" s="24"/>
      <c r="AD54" s="24"/>
      <c r="AE54" s="24"/>
      <c r="AF54" s="24"/>
    </row>
    <row r="55" spans="4:32" x14ac:dyDescent="0.55000000000000004">
      <c r="D55" s="39"/>
      <c r="E55" s="40"/>
      <c r="F55" s="40"/>
      <c r="G55" s="40"/>
      <c r="H55" s="40"/>
      <c r="I55" s="40"/>
      <c r="J55" s="45" t="s">
        <v>83</v>
      </c>
      <c r="K55" s="45"/>
      <c r="L55" s="45"/>
      <c r="M55" s="45" t="s">
        <v>84</v>
      </c>
      <c r="N55" s="45"/>
      <c r="O55" s="45"/>
      <c r="P55" s="45" t="s">
        <v>78</v>
      </c>
      <c r="Q55" s="45"/>
      <c r="R55" s="45"/>
      <c r="S55" s="45"/>
      <c r="T55" s="45"/>
      <c r="U55" s="45"/>
      <c r="V55" s="45"/>
      <c r="W55" s="45"/>
      <c r="X55" s="53"/>
      <c r="Y55" s="23"/>
      <c r="Z55" s="24"/>
      <c r="AA55" s="25"/>
      <c r="AB55" s="24"/>
      <c r="AC55" s="24"/>
      <c r="AD55" s="24"/>
      <c r="AE55" s="24"/>
      <c r="AF55" s="24"/>
    </row>
    <row r="56" spans="4:32" x14ac:dyDescent="0.55000000000000004">
      <c r="D56" s="39"/>
      <c r="E56" s="40"/>
      <c r="F56" s="40"/>
      <c r="G56" s="40"/>
      <c r="H56" s="40"/>
      <c r="I56" s="40"/>
      <c r="J56" s="45" t="s">
        <v>85</v>
      </c>
      <c r="K56" s="45"/>
      <c r="L56" s="45"/>
      <c r="M56" s="45" t="s">
        <v>86</v>
      </c>
      <c r="N56" s="45"/>
      <c r="O56" s="45"/>
      <c r="P56" s="45" t="s">
        <v>78</v>
      </c>
      <c r="Q56" s="45"/>
      <c r="R56" s="45"/>
      <c r="S56" s="45"/>
      <c r="T56" s="45"/>
      <c r="U56" s="45"/>
      <c r="V56" s="45"/>
      <c r="W56" s="45"/>
      <c r="X56" s="53"/>
      <c r="Y56" s="23"/>
      <c r="Z56" s="24"/>
      <c r="AA56" s="25"/>
      <c r="AB56" s="24"/>
      <c r="AC56" s="24"/>
      <c r="AD56" s="24"/>
      <c r="AE56" s="24"/>
      <c r="AF56" s="24"/>
    </row>
    <row r="57" spans="4:32" x14ac:dyDescent="0.55000000000000004">
      <c r="D57" s="39"/>
      <c r="E57" s="40"/>
      <c r="F57" s="40"/>
      <c r="G57" s="40"/>
      <c r="H57" s="40"/>
      <c r="I57" s="40"/>
      <c r="J57" s="45" t="s">
        <v>87</v>
      </c>
      <c r="K57" s="45"/>
      <c r="L57" s="45"/>
      <c r="M57" s="45" t="s">
        <v>88</v>
      </c>
      <c r="N57" s="45"/>
      <c r="O57" s="45"/>
      <c r="P57" s="45" t="s">
        <v>78</v>
      </c>
      <c r="Q57" s="45"/>
      <c r="R57" s="45"/>
      <c r="S57" s="45"/>
      <c r="T57" s="45"/>
      <c r="U57" s="45"/>
      <c r="V57" s="45"/>
      <c r="W57" s="45"/>
      <c r="X57" s="53"/>
      <c r="Y57" s="23"/>
      <c r="Z57" s="24"/>
      <c r="AA57" s="25"/>
      <c r="AB57" s="24"/>
      <c r="AC57" s="24"/>
      <c r="AD57" s="24"/>
      <c r="AE57" s="24"/>
      <c r="AF57" s="24"/>
    </row>
    <row r="58" spans="4:32" ht="21" customHeight="1" x14ac:dyDescent="0.55000000000000004">
      <c r="D58" s="35" t="s">
        <v>93</v>
      </c>
      <c r="E58" s="36"/>
      <c r="F58" s="36"/>
      <c r="G58" s="36"/>
      <c r="H58" s="36"/>
      <c r="I58" s="36"/>
      <c r="J58" s="50" t="s">
        <v>35</v>
      </c>
      <c r="K58" s="50"/>
      <c r="L58" s="50"/>
      <c r="M58" s="50" t="s">
        <v>39</v>
      </c>
      <c r="N58" s="50"/>
      <c r="O58" s="50"/>
      <c r="P58" s="50" t="s">
        <v>89</v>
      </c>
      <c r="Q58" s="50"/>
      <c r="R58" s="50"/>
      <c r="S58" s="50"/>
      <c r="T58" s="50"/>
      <c r="U58" s="50"/>
      <c r="V58" s="50"/>
      <c r="W58" s="50"/>
      <c r="X58" s="52"/>
      <c r="Y58" s="26" t="s">
        <v>102</v>
      </c>
      <c r="Z58" s="24"/>
      <c r="AA58" s="25"/>
      <c r="AB58" s="27" t="s">
        <v>105</v>
      </c>
      <c r="AC58" s="24"/>
      <c r="AD58" s="24"/>
      <c r="AE58" s="24"/>
      <c r="AF58" s="24"/>
    </row>
    <row r="59" spans="4:32" x14ac:dyDescent="0.55000000000000004">
      <c r="D59" s="39"/>
      <c r="E59" s="40"/>
      <c r="F59" s="40"/>
      <c r="G59" s="40"/>
      <c r="H59" s="40"/>
      <c r="I59" s="40"/>
      <c r="J59" s="45" t="s">
        <v>36</v>
      </c>
      <c r="K59" s="45"/>
      <c r="L59" s="45"/>
      <c r="M59" s="45" t="s">
        <v>40</v>
      </c>
      <c r="N59" s="45"/>
      <c r="O59" s="45"/>
      <c r="P59" s="45" t="s">
        <v>89</v>
      </c>
      <c r="Q59" s="45"/>
      <c r="R59" s="45"/>
      <c r="S59" s="45"/>
      <c r="T59" s="45"/>
      <c r="U59" s="45"/>
      <c r="V59" s="45"/>
      <c r="W59" s="45"/>
      <c r="X59" s="53"/>
      <c r="Y59" s="23"/>
      <c r="Z59" s="24"/>
      <c r="AA59" s="25"/>
      <c r="AB59" s="24"/>
      <c r="AC59" s="24"/>
      <c r="AD59" s="24"/>
      <c r="AE59" s="24"/>
      <c r="AF59" s="24"/>
    </row>
    <row r="60" spans="4:32" x14ac:dyDescent="0.55000000000000004">
      <c r="D60" s="39"/>
      <c r="E60" s="40"/>
      <c r="F60" s="40"/>
      <c r="G60" s="40"/>
      <c r="H60" s="40"/>
      <c r="I60" s="40"/>
      <c r="J60" s="45" t="s">
        <v>37</v>
      </c>
      <c r="K60" s="45"/>
      <c r="L60" s="45"/>
      <c r="M60" s="45" t="s">
        <v>41</v>
      </c>
      <c r="N60" s="45"/>
      <c r="O60" s="45"/>
      <c r="P60" s="45" t="s">
        <v>89</v>
      </c>
      <c r="Q60" s="45"/>
      <c r="R60" s="45"/>
      <c r="S60" s="45"/>
      <c r="T60" s="45"/>
      <c r="U60" s="45"/>
      <c r="V60" s="45"/>
      <c r="W60" s="45"/>
      <c r="X60" s="53"/>
      <c r="Y60" s="23"/>
      <c r="Z60" s="24"/>
      <c r="AA60" s="25"/>
      <c r="AB60" s="24"/>
      <c r="AC60" s="24"/>
      <c r="AD60" s="24"/>
      <c r="AE60" s="24"/>
      <c r="AF60" s="24"/>
    </row>
    <row r="61" spans="4:32" x14ac:dyDescent="0.55000000000000004">
      <c r="D61" s="37"/>
      <c r="E61" s="38"/>
      <c r="F61" s="38"/>
      <c r="G61" s="38"/>
      <c r="H61" s="38"/>
      <c r="I61" s="38"/>
      <c r="J61" s="51" t="s">
        <v>38</v>
      </c>
      <c r="K61" s="51"/>
      <c r="L61" s="51"/>
      <c r="M61" s="51" t="s">
        <v>42</v>
      </c>
      <c r="N61" s="51"/>
      <c r="O61" s="51"/>
      <c r="P61" s="51" t="s">
        <v>89</v>
      </c>
      <c r="Q61" s="51"/>
      <c r="R61" s="51"/>
      <c r="S61" s="51"/>
      <c r="T61" s="51"/>
      <c r="U61" s="51"/>
      <c r="V61" s="51"/>
      <c r="W61" s="51"/>
      <c r="X61" s="54"/>
      <c r="Y61" s="23"/>
      <c r="Z61" s="24"/>
      <c r="AA61" s="25"/>
      <c r="AB61" s="24"/>
      <c r="AC61" s="24"/>
      <c r="AD61" s="24"/>
      <c r="AE61" s="24"/>
      <c r="AF61" s="24"/>
    </row>
  </sheetData>
  <mergeCells count="116">
    <mergeCell ref="P61:X61"/>
    <mergeCell ref="P50:X50"/>
    <mergeCell ref="P51:X51"/>
    <mergeCell ref="P52:X52"/>
    <mergeCell ref="P53:X53"/>
    <mergeCell ref="P54:X54"/>
    <mergeCell ref="P57:X57"/>
    <mergeCell ref="P58:X58"/>
    <mergeCell ref="P59:X59"/>
    <mergeCell ref="P60:X60"/>
    <mergeCell ref="J61:L61"/>
    <mergeCell ref="M61:O61"/>
    <mergeCell ref="P36:X36"/>
    <mergeCell ref="P37:X37"/>
    <mergeCell ref="P38:X38"/>
    <mergeCell ref="P39:X39"/>
    <mergeCell ref="P40:X40"/>
    <mergeCell ref="P41:X41"/>
    <mergeCell ref="P42:X42"/>
    <mergeCell ref="P43:X43"/>
    <mergeCell ref="J57:L57"/>
    <mergeCell ref="M57:O57"/>
    <mergeCell ref="J59:L59"/>
    <mergeCell ref="M59:O59"/>
    <mergeCell ref="J60:L60"/>
    <mergeCell ref="M60:O60"/>
    <mergeCell ref="P56:X56"/>
    <mergeCell ref="P44:X44"/>
    <mergeCell ref="P45:X45"/>
    <mergeCell ref="P46:X46"/>
    <mergeCell ref="P47:X47"/>
    <mergeCell ref="P48:X48"/>
    <mergeCell ref="P49:X49"/>
    <mergeCell ref="P55:X55"/>
    <mergeCell ref="M46:O46"/>
    <mergeCell ref="J47:L47"/>
    <mergeCell ref="M47:O47"/>
    <mergeCell ref="J45:L45"/>
    <mergeCell ref="M45:O45"/>
    <mergeCell ref="J56:L56"/>
    <mergeCell ref="M56:O56"/>
    <mergeCell ref="M42:O42"/>
    <mergeCell ref="J43:L43"/>
    <mergeCell ref="M43:O43"/>
    <mergeCell ref="J44:L44"/>
    <mergeCell ref="M44:O44"/>
    <mergeCell ref="J52:L52"/>
    <mergeCell ref="M52:O52"/>
    <mergeCell ref="J55:L55"/>
    <mergeCell ref="M55:O55"/>
    <mergeCell ref="J53:L53"/>
    <mergeCell ref="M53:O53"/>
    <mergeCell ref="J54:L54"/>
    <mergeCell ref="M54:O54"/>
    <mergeCell ref="D6:D14"/>
    <mergeCell ref="D15:D19"/>
    <mergeCell ref="J36:L36"/>
    <mergeCell ref="M36:O36"/>
    <mergeCell ref="J37:L37"/>
    <mergeCell ref="M37:O37"/>
    <mergeCell ref="J58:L58"/>
    <mergeCell ref="M58:O58"/>
    <mergeCell ref="D37:I44"/>
    <mergeCell ref="J38:L38"/>
    <mergeCell ref="M38:O38"/>
    <mergeCell ref="J39:L39"/>
    <mergeCell ref="M39:O39"/>
    <mergeCell ref="J40:L40"/>
    <mergeCell ref="J48:L48"/>
    <mergeCell ref="M48:O48"/>
    <mergeCell ref="J50:L50"/>
    <mergeCell ref="M50:O50"/>
    <mergeCell ref="J51:L51"/>
    <mergeCell ref="M51:O51"/>
    <mergeCell ref="J49:L49"/>
    <mergeCell ref="M49:O49"/>
    <mergeCell ref="D45:I47"/>
    <mergeCell ref="J46:L46"/>
    <mergeCell ref="Y36:AA36"/>
    <mergeCell ref="AB36:AF36"/>
    <mergeCell ref="Y37:AA44"/>
    <mergeCell ref="AB37:AF44"/>
    <mergeCell ref="D5:E5"/>
    <mergeCell ref="D20:E20"/>
    <mergeCell ref="D48:I49"/>
    <mergeCell ref="D52:I57"/>
    <mergeCell ref="D58:I61"/>
    <mergeCell ref="D24:I24"/>
    <mergeCell ref="D25:I25"/>
    <mergeCell ref="D31:I31"/>
    <mergeCell ref="D30:I30"/>
    <mergeCell ref="D29:I29"/>
    <mergeCell ref="D28:I28"/>
    <mergeCell ref="D27:I27"/>
    <mergeCell ref="D26:I26"/>
    <mergeCell ref="D36:I36"/>
    <mergeCell ref="D50:I50"/>
    <mergeCell ref="D51:I51"/>
    <mergeCell ref="M40:O40"/>
    <mergeCell ref="J41:L41"/>
    <mergeCell ref="M41:O41"/>
    <mergeCell ref="J42:L42"/>
    <mergeCell ref="Y52:AA57"/>
    <mergeCell ref="AB52:AF57"/>
    <mergeCell ref="Y58:AA61"/>
    <mergeCell ref="AB58:AF61"/>
    <mergeCell ref="Y50:AA50"/>
    <mergeCell ref="Y51:AA51"/>
    <mergeCell ref="AB50:AF50"/>
    <mergeCell ref="AB51:AF51"/>
    <mergeCell ref="Y45:AA45"/>
    <mergeCell ref="Y46:AA47"/>
    <mergeCell ref="AB45:AF45"/>
    <mergeCell ref="AB46:AF47"/>
    <mergeCell ref="Y48:AA49"/>
    <mergeCell ref="AB48:AF49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7.600000000000001" x14ac:dyDescent="0.5500000000000000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.600000000000001" x14ac:dyDescent="0.5500000000000000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이인수</cp:lastModifiedBy>
  <dcterms:created xsi:type="dcterms:W3CDTF">2024-06-04T02:21:57Z</dcterms:created>
  <dcterms:modified xsi:type="dcterms:W3CDTF">2024-06-11T00:02:19Z</dcterms:modified>
</cp:coreProperties>
</file>